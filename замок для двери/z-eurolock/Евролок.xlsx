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5" windowWidth="28755" windowHeight="12600"/>
  </bookViews>
  <sheets>
    <sheet name="Евро Lock" sheetId="2" r:id="rId1"/>
  </sheets>
  <calcPr calcId="125725"/>
</workbook>
</file>

<file path=xl/calcChain.xml><?xml version="1.0" encoding="utf-8"?>
<calcChain xmlns="http://schemas.openxmlformats.org/spreadsheetml/2006/main">
  <c r="G7" i="2"/>
  <c r="F3"/>
</calcChain>
</file>

<file path=xl/sharedStrings.xml><?xml version="1.0" encoding="utf-8"?>
<sst xmlns="http://schemas.openxmlformats.org/spreadsheetml/2006/main" count="19" uniqueCount="19">
  <si>
    <t>Код Гермеса</t>
  </si>
  <si>
    <t>Описание</t>
  </si>
  <si>
    <t>Фото детали</t>
  </si>
  <si>
    <t>Фото места установки</t>
  </si>
  <si>
    <t>наличие</t>
  </si>
  <si>
    <t>цена</t>
  </si>
  <si>
    <t>130мм для замка</t>
  </si>
  <si>
    <t>механическая часть 004</t>
  </si>
  <si>
    <t>Замок целиком</t>
  </si>
  <si>
    <t>контроллер</t>
  </si>
  <si>
    <t>накладка с батарейным отсеком</t>
  </si>
  <si>
    <t>замк без механической части (накладки с контроллером)</t>
  </si>
  <si>
    <t>накладка с контроллером, но  без механической части</t>
  </si>
  <si>
    <t>ручка</t>
  </si>
  <si>
    <t>шток с пружиной</t>
  </si>
  <si>
    <t>Детали получаем путем разборки замков со склада</t>
  </si>
  <si>
    <t>детали механической части,   шаги разборки</t>
  </si>
  <si>
    <t>пружина ручки</t>
  </si>
  <si>
    <t>поворотный кулак со штоком и муфтой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</si>
</sst>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Fill="1" applyBorder="1" applyAlignment="1">
      <alignment vertical="center" wrapText="1"/>
    </xf>
    <xf numFmtId="0" fontId="0" fillId="0" borderId="2" xfId="0" applyBorder="1"/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vertical="center" wrapText="1"/>
    </xf>
    <xf numFmtId="0" fontId="0" fillId="0" borderId="4" xfId="0" applyBorder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vertical="center" wrapText="1"/>
    </xf>
    <xf numFmtId="0" fontId="0" fillId="0" borderId="9" xfId="0" applyBorder="1"/>
    <xf numFmtId="0" fontId="0" fillId="0" borderId="9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552450</xdr:colOff>
      <xdr:row>4</xdr:row>
      <xdr:rowOff>9525</xdr:rowOff>
    </xdr:from>
    <xdr:to>
      <xdr:col>3</xdr:col>
      <xdr:colOff>1772300</xdr:colOff>
      <xdr:row>4</xdr:row>
      <xdr:rowOff>1876425</xdr:rowOff>
    </xdr:to>
    <xdr:pic>
      <xdr:nvPicPr>
        <xdr:cNvPr id="2" name="Рисунок 1" descr="eurolock-eht_sch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24375" y="2924175"/>
          <a:ext cx="1219850" cy="1866900"/>
        </a:xfrm>
        <a:prstGeom prst="rect">
          <a:avLst/>
        </a:prstGeom>
      </xdr:spPr>
    </xdr:pic>
    <xdr:clientData/>
  </xdr:twoCellAnchor>
  <xdr:twoCellAnchor editAs="oneCell">
    <xdr:from>
      <xdr:col>3</xdr:col>
      <xdr:colOff>419100</xdr:colOff>
      <xdr:row>3</xdr:row>
      <xdr:rowOff>47625</xdr:rowOff>
    </xdr:from>
    <xdr:to>
      <xdr:col>3</xdr:col>
      <xdr:colOff>1632966</xdr:colOff>
      <xdr:row>3</xdr:row>
      <xdr:rowOff>2295525</xdr:rowOff>
    </xdr:to>
    <xdr:pic>
      <xdr:nvPicPr>
        <xdr:cNvPr id="3" name="Рисунок 2" descr="lock004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391025" y="619125"/>
          <a:ext cx="1213866" cy="224790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476250</xdr:colOff>
      <xdr:row>2</xdr:row>
      <xdr:rowOff>19050</xdr:rowOff>
    </xdr:from>
    <xdr:to>
      <xdr:col>3</xdr:col>
      <xdr:colOff>1485900</xdr:colOff>
      <xdr:row>2</xdr:row>
      <xdr:rowOff>2422979</xdr:rowOff>
    </xdr:to>
    <xdr:pic>
      <xdr:nvPicPr>
        <xdr:cNvPr id="4" name="Рисунок 3" descr="shtock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448175" y="400050"/>
          <a:ext cx="1009650" cy="2403929"/>
        </a:xfrm>
        <a:prstGeom prst="rect">
          <a:avLst/>
        </a:prstGeom>
      </xdr:spPr>
    </xdr:pic>
    <xdr:clientData/>
  </xdr:twoCellAnchor>
  <xdr:twoCellAnchor editAs="oneCell">
    <xdr:from>
      <xdr:col>3</xdr:col>
      <xdr:colOff>95250</xdr:colOff>
      <xdr:row>8</xdr:row>
      <xdr:rowOff>163287</xdr:rowOff>
    </xdr:from>
    <xdr:to>
      <xdr:col>3</xdr:col>
      <xdr:colOff>1986643</xdr:colOff>
      <xdr:row>8</xdr:row>
      <xdr:rowOff>1222927</xdr:rowOff>
    </xdr:to>
    <xdr:pic>
      <xdr:nvPicPr>
        <xdr:cNvPr id="5" name="Рисунок 4" descr="накладка внешняя без механической части сбоку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068536" y="9239251"/>
          <a:ext cx="1891393" cy="105964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95250</xdr:colOff>
      <xdr:row>8</xdr:row>
      <xdr:rowOff>1279071</xdr:rowOff>
    </xdr:from>
    <xdr:to>
      <xdr:col>3</xdr:col>
      <xdr:colOff>1945821</xdr:colOff>
      <xdr:row>8</xdr:row>
      <xdr:rowOff>1820106</xdr:rowOff>
    </xdr:to>
    <xdr:pic>
      <xdr:nvPicPr>
        <xdr:cNvPr id="6" name="Рисунок 5" descr="накладка внешняя без механической части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068536" y="10355035"/>
          <a:ext cx="1850571" cy="541035"/>
        </a:xfrm>
        <a:prstGeom prst="rect">
          <a:avLst/>
        </a:prstGeom>
      </xdr:spPr>
    </xdr:pic>
    <xdr:clientData/>
  </xdr:twoCellAnchor>
  <xdr:twoCellAnchor editAs="oneCell">
    <xdr:from>
      <xdr:col>3</xdr:col>
      <xdr:colOff>168088</xdr:colOff>
      <xdr:row>8</xdr:row>
      <xdr:rowOff>2073088</xdr:rowOff>
    </xdr:from>
    <xdr:to>
      <xdr:col>3</xdr:col>
      <xdr:colOff>1893794</xdr:colOff>
      <xdr:row>9</xdr:row>
      <xdr:rowOff>959503</xdr:rowOff>
    </xdr:to>
    <xdr:pic>
      <xdr:nvPicPr>
        <xdr:cNvPr id="7" name="Рисунок 6" descr="накладка внутреннняя с батарейным отсеком в собанном виде.JP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134970" y="11149853"/>
          <a:ext cx="1725706" cy="970710"/>
        </a:xfrm>
        <a:prstGeom prst="rect">
          <a:avLst/>
        </a:prstGeom>
      </xdr:spPr>
    </xdr:pic>
    <xdr:clientData/>
  </xdr:twoCellAnchor>
  <xdr:twoCellAnchor editAs="oneCell">
    <xdr:from>
      <xdr:col>3</xdr:col>
      <xdr:colOff>56030</xdr:colOff>
      <xdr:row>9</xdr:row>
      <xdr:rowOff>1008530</xdr:rowOff>
    </xdr:from>
    <xdr:to>
      <xdr:col>3</xdr:col>
      <xdr:colOff>2005854</xdr:colOff>
      <xdr:row>9</xdr:row>
      <xdr:rowOff>2105306</xdr:rowOff>
    </xdr:to>
    <xdr:pic>
      <xdr:nvPicPr>
        <xdr:cNvPr id="8" name="Рисунок 7" descr="накладка внутреннняя с батарейным отсеком.JP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4022912" y="12169589"/>
          <a:ext cx="1949824" cy="1096776"/>
        </a:xfrm>
        <a:prstGeom prst="rect">
          <a:avLst/>
        </a:prstGeom>
      </xdr:spPr>
    </xdr:pic>
    <xdr:clientData/>
  </xdr:twoCellAnchor>
  <xdr:twoCellAnchor editAs="oneCell">
    <xdr:from>
      <xdr:col>3</xdr:col>
      <xdr:colOff>280147</xdr:colOff>
      <xdr:row>7</xdr:row>
      <xdr:rowOff>33617</xdr:rowOff>
    </xdr:from>
    <xdr:to>
      <xdr:col>3</xdr:col>
      <xdr:colOff>1654736</xdr:colOff>
      <xdr:row>7</xdr:row>
      <xdr:rowOff>806823</xdr:rowOff>
    </xdr:to>
    <xdr:pic>
      <xdr:nvPicPr>
        <xdr:cNvPr id="10" name="Рисунок 9" descr="считыватель.JPG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4247029" y="8919882"/>
          <a:ext cx="1374589" cy="773206"/>
        </a:xfrm>
        <a:prstGeom prst="rect">
          <a:avLst/>
        </a:prstGeom>
      </xdr:spPr>
    </xdr:pic>
    <xdr:clientData/>
  </xdr:twoCellAnchor>
  <xdr:twoCellAnchor editAs="oneCell">
    <xdr:from>
      <xdr:col>3</xdr:col>
      <xdr:colOff>224117</xdr:colOff>
      <xdr:row>7</xdr:row>
      <xdr:rowOff>862853</xdr:rowOff>
    </xdr:from>
    <xdr:to>
      <xdr:col>3</xdr:col>
      <xdr:colOff>1624854</xdr:colOff>
      <xdr:row>7</xdr:row>
      <xdr:rowOff>1650768</xdr:rowOff>
    </xdr:to>
    <xdr:pic>
      <xdr:nvPicPr>
        <xdr:cNvPr id="11" name="Рисунок 10" descr="контроллер.JP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4190999" y="9749118"/>
          <a:ext cx="1400737" cy="787915"/>
        </a:xfrm>
        <a:prstGeom prst="rect">
          <a:avLst/>
        </a:prstGeom>
      </xdr:spPr>
    </xdr:pic>
    <xdr:clientData/>
  </xdr:twoCellAnchor>
  <xdr:twoCellAnchor editAs="oneCell">
    <xdr:from>
      <xdr:col>3</xdr:col>
      <xdr:colOff>280146</xdr:colOff>
      <xdr:row>9</xdr:row>
      <xdr:rowOff>2241175</xdr:rowOff>
    </xdr:from>
    <xdr:to>
      <xdr:col>3</xdr:col>
      <xdr:colOff>1624852</xdr:colOff>
      <xdr:row>10</xdr:row>
      <xdr:rowOff>745190</xdr:rowOff>
    </xdr:to>
    <xdr:pic>
      <xdr:nvPicPr>
        <xdr:cNvPr id="12" name="Рисунок 11" descr="ручка 1.JPG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4247028" y="15015881"/>
          <a:ext cx="1344706" cy="756397"/>
        </a:xfrm>
        <a:prstGeom prst="rect">
          <a:avLst/>
        </a:prstGeom>
      </xdr:spPr>
    </xdr:pic>
    <xdr:clientData/>
  </xdr:twoCellAnchor>
  <xdr:twoCellAnchor editAs="oneCell">
    <xdr:from>
      <xdr:col>3</xdr:col>
      <xdr:colOff>302558</xdr:colOff>
      <xdr:row>10</xdr:row>
      <xdr:rowOff>851647</xdr:rowOff>
    </xdr:from>
    <xdr:to>
      <xdr:col>3</xdr:col>
      <xdr:colOff>1759324</xdr:colOff>
      <xdr:row>10</xdr:row>
      <xdr:rowOff>1671078</xdr:rowOff>
    </xdr:to>
    <xdr:pic>
      <xdr:nvPicPr>
        <xdr:cNvPr id="13" name="Рисунок 12" descr="ручка 2.JPG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4269440" y="15878735"/>
          <a:ext cx="1456766" cy="819431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190500</xdr:colOff>
      <xdr:row>12</xdr:row>
      <xdr:rowOff>22412</xdr:rowOff>
    </xdr:from>
    <xdr:to>
      <xdr:col>3</xdr:col>
      <xdr:colOff>1808191</xdr:colOff>
      <xdr:row>12</xdr:row>
      <xdr:rowOff>1221442</xdr:rowOff>
    </xdr:to>
    <xdr:pic>
      <xdr:nvPicPr>
        <xdr:cNvPr id="14" name="Рисунок 13" descr="шток с пружиной.JP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4157382" y="16932088"/>
          <a:ext cx="1617691" cy="1199030"/>
        </a:xfrm>
        <a:prstGeom prst="rect">
          <a:avLst/>
        </a:prstGeom>
      </xdr:spPr>
    </xdr:pic>
    <xdr:clientData/>
  </xdr:twoCellAnchor>
  <xdr:twoCellAnchor editAs="oneCell">
    <xdr:from>
      <xdr:col>4</xdr:col>
      <xdr:colOff>33618</xdr:colOff>
      <xdr:row>12</xdr:row>
      <xdr:rowOff>212912</xdr:rowOff>
    </xdr:from>
    <xdr:to>
      <xdr:col>4</xdr:col>
      <xdr:colOff>1541907</xdr:colOff>
      <xdr:row>12</xdr:row>
      <xdr:rowOff>862854</xdr:rowOff>
    </xdr:to>
    <xdr:pic>
      <xdr:nvPicPr>
        <xdr:cNvPr id="15" name="Рисунок 14" descr="шток установлен.JP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6062383" y="17122588"/>
          <a:ext cx="1508289" cy="649942"/>
        </a:xfrm>
        <a:prstGeom prst="rect">
          <a:avLst/>
        </a:prstGeom>
      </xdr:spPr>
    </xdr:pic>
    <xdr:clientData/>
  </xdr:twoCellAnchor>
  <xdr:twoCellAnchor editAs="oneCell">
    <xdr:from>
      <xdr:col>3</xdr:col>
      <xdr:colOff>145676</xdr:colOff>
      <xdr:row>10</xdr:row>
      <xdr:rowOff>1680882</xdr:rowOff>
    </xdr:from>
    <xdr:to>
      <xdr:col>3</xdr:col>
      <xdr:colOff>1916206</xdr:colOff>
      <xdr:row>11</xdr:row>
      <xdr:rowOff>1555744</xdr:rowOff>
    </xdr:to>
    <xdr:pic>
      <xdr:nvPicPr>
        <xdr:cNvPr id="16" name="Рисунок 15" descr="шаг0.JPG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4112558" y="16707970"/>
          <a:ext cx="1770530" cy="1566950"/>
        </a:xfrm>
        <a:prstGeom prst="rect">
          <a:avLst/>
        </a:prstGeom>
      </xdr:spPr>
    </xdr:pic>
    <xdr:clientData/>
  </xdr:twoCellAnchor>
  <xdr:twoCellAnchor editAs="oneCell">
    <xdr:from>
      <xdr:col>3</xdr:col>
      <xdr:colOff>156883</xdr:colOff>
      <xdr:row>11</xdr:row>
      <xdr:rowOff>1591236</xdr:rowOff>
    </xdr:from>
    <xdr:to>
      <xdr:col>3</xdr:col>
      <xdr:colOff>1968733</xdr:colOff>
      <xdr:row>11</xdr:row>
      <xdr:rowOff>2599766</xdr:rowOff>
    </xdr:to>
    <xdr:pic>
      <xdr:nvPicPr>
        <xdr:cNvPr id="17" name="Рисунок 16" descr="шаг1.JPG"/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4123765" y="18310412"/>
          <a:ext cx="1811850" cy="1008530"/>
        </a:xfrm>
        <a:prstGeom prst="rect">
          <a:avLst/>
        </a:prstGeom>
      </xdr:spPr>
    </xdr:pic>
    <xdr:clientData/>
  </xdr:twoCellAnchor>
  <xdr:twoCellAnchor editAs="oneCell">
    <xdr:from>
      <xdr:col>3</xdr:col>
      <xdr:colOff>134470</xdr:colOff>
      <xdr:row>11</xdr:row>
      <xdr:rowOff>2633382</xdr:rowOff>
    </xdr:from>
    <xdr:to>
      <xdr:col>3</xdr:col>
      <xdr:colOff>1985534</xdr:colOff>
      <xdr:row>11</xdr:row>
      <xdr:rowOff>3361765</xdr:rowOff>
    </xdr:to>
    <xdr:pic>
      <xdr:nvPicPr>
        <xdr:cNvPr id="18" name="Рисунок 17" descr="шаг2.JPG"/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4101352" y="19352558"/>
          <a:ext cx="1851064" cy="728383"/>
        </a:xfrm>
        <a:prstGeom prst="rect">
          <a:avLst/>
        </a:prstGeom>
      </xdr:spPr>
    </xdr:pic>
    <xdr:clientData/>
  </xdr:twoCellAnchor>
  <xdr:twoCellAnchor editAs="oneCell">
    <xdr:from>
      <xdr:col>3</xdr:col>
      <xdr:colOff>134470</xdr:colOff>
      <xdr:row>11</xdr:row>
      <xdr:rowOff>3440207</xdr:rowOff>
    </xdr:from>
    <xdr:to>
      <xdr:col>3</xdr:col>
      <xdr:colOff>1951043</xdr:colOff>
      <xdr:row>11</xdr:row>
      <xdr:rowOff>4258236</xdr:rowOff>
    </xdr:to>
    <xdr:pic>
      <xdr:nvPicPr>
        <xdr:cNvPr id="19" name="Рисунок 18" descr="шаг3.JPG"/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4101352" y="20159383"/>
          <a:ext cx="1816573" cy="818029"/>
        </a:xfrm>
        <a:prstGeom prst="rect">
          <a:avLst/>
        </a:prstGeom>
      </xdr:spPr>
    </xdr:pic>
    <xdr:clientData/>
  </xdr:twoCellAnchor>
  <xdr:twoCellAnchor editAs="oneCell">
    <xdr:from>
      <xdr:col>4</xdr:col>
      <xdr:colOff>112059</xdr:colOff>
      <xdr:row>11</xdr:row>
      <xdr:rowOff>504264</xdr:rowOff>
    </xdr:from>
    <xdr:to>
      <xdr:col>4</xdr:col>
      <xdr:colOff>1950019</xdr:colOff>
      <xdr:row>11</xdr:row>
      <xdr:rowOff>1905000</xdr:rowOff>
    </xdr:to>
    <xdr:pic>
      <xdr:nvPicPr>
        <xdr:cNvPr id="20" name="Рисунок 19" descr="шаг4.JPG"/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6140824" y="17223440"/>
          <a:ext cx="1837960" cy="1400736"/>
        </a:xfrm>
        <a:prstGeom prst="rect">
          <a:avLst/>
        </a:prstGeom>
      </xdr:spPr>
    </xdr:pic>
    <xdr:clientData/>
  </xdr:twoCellAnchor>
  <xdr:twoCellAnchor editAs="oneCell">
    <xdr:from>
      <xdr:col>4</xdr:col>
      <xdr:colOff>123264</xdr:colOff>
      <xdr:row>11</xdr:row>
      <xdr:rowOff>2017059</xdr:rowOff>
    </xdr:from>
    <xdr:to>
      <xdr:col>4</xdr:col>
      <xdr:colOff>1916206</xdr:colOff>
      <xdr:row>11</xdr:row>
      <xdr:rowOff>3390622</xdr:rowOff>
    </xdr:to>
    <xdr:pic>
      <xdr:nvPicPr>
        <xdr:cNvPr id="21" name="Рисунок 20" descr="шаг5.JPG"/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6152029" y="18736235"/>
          <a:ext cx="1792942" cy="137356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2090304</xdr:colOff>
      <xdr:row>13</xdr:row>
      <xdr:rowOff>941294</xdr:rowOff>
    </xdr:to>
    <xdr:pic>
      <xdr:nvPicPr>
        <xdr:cNvPr id="32" name="Рисунок 31" descr="шаг3.JPG"/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6028765" y="22714324"/>
          <a:ext cx="2090304" cy="941294"/>
        </a:xfrm>
        <a:prstGeom prst="rect">
          <a:avLst/>
        </a:prstGeom>
      </xdr:spPr>
    </xdr:pic>
    <xdr:clientData/>
  </xdr:twoCellAnchor>
  <xdr:twoCellAnchor editAs="oneCell">
    <xdr:from>
      <xdr:col>3</xdr:col>
      <xdr:colOff>515471</xdr:colOff>
      <xdr:row>13</xdr:row>
      <xdr:rowOff>11206</xdr:rowOff>
    </xdr:from>
    <xdr:to>
      <xdr:col>3</xdr:col>
      <xdr:colOff>1501589</xdr:colOff>
      <xdr:row>13</xdr:row>
      <xdr:rowOff>994577</xdr:rowOff>
    </xdr:to>
    <xdr:pic>
      <xdr:nvPicPr>
        <xdr:cNvPr id="33" name="Рисунок 32" descr="пружина.JPG"/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4482353" y="22725530"/>
          <a:ext cx="986118" cy="983371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190500</xdr:colOff>
      <xdr:row>14</xdr:row>
      <xdr:rowOff>67235</xdr:rowOff>
    </xdr:from>
    <xdr:to>
      <xdr:col>3</xdr:col>
      <xdr:colOff>1901892</xdr:colOff>
      <xdr:row>14</xdr:row>
      <xdr:rowOff>1378323</xdr:rowOff>
    </xdr:to>
    <xdr:pic>
      <xdr:nvPicPr>
        <xdr:cNvPr id="34" name="Рисунок 33" descr="шаг5.JPG"/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4157382" y="23778882"/>
          <a:ext cx="1711392" cy="13110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G17"/>
  <sheetViews>
    <sheetView tabSelected="1" topLeftCell="A7" zoomScale="85" zoomScaleNormal="85" workbookViewId="0">
      <selection activeCell="L12" sqref="L12"/>
    </sheetView>
  </sheetViews>
  <sheetFormatPr defaultRowHeight="15"/>
  <cols>
    <col min="2" max="2" width="19.42578125" customWidth="1"/>
    <col min="3" max="3" width="31" style="9" customWidth="1"/>
    <col min="4" max="4" width="31" customWidth="1"/>
    <col min="5" max="5" width="33.42578125" customWidth="1"/>
    <col min="6" max="6" width="19.28515625" style="6" customWidth="1"/>
    <col min="7" max="7" width="14.85546875" style="6" customWidth="1"/>
  </cols>
  <sheetData>
    <row r="2" spans="2:7">
      <c r="B2" s="2" t="s">
        <v>0</v>
      </c>
      <c r="C2" s="7" t="s">
        <v>1</v>
      </c>
      <c r="D2" s="2" t="s">
        <v>2</v>
      </c>
      <c r="E2" s="2" t="s">
        <v>3</v>
      </c>
      <c r="F2" s="4" t="s">
        <v>4</v>
      </c>
      <c r="G2" s="4" t="s">
        <v>5</v>
      </c>
    </row>
    <row r="3" spans="2:7" ht="192.75" customHeight="1">
      <c r="B3" s="2">
        <v>5942</v>
      </c>
      <c r="C3" s="7" t="s">
        <v>6</v>
      </c>
      <c r="D3" s="2"/>
      <c r="E3" s="2"/>
      <c r="F3" s="4">
        <f>167+976</f>
        <v>1143</v>
      </c>
      <c r="G3" s="4">
        <v>610</v>
      </c>
    </row>
    <row r="4" spans="2:7" ht="184.5" customHeight="1">
      <c r="B4" s="2">
        <v>6021</v>
      </c>
      <c r="C4" s="7" t="s">
        <v>7</v>
      </c>
      <c r="D4" s="3"/>
      <c r="E4" s="3"/>
      <c r="F4" s="5"/>
      <c r="G4" s="4">
        <v>4100</v>
      </c>
    </row>
    <row r="5" spans="2:7" ht="149.25" customHeight="1" thickBot="1">
      <c r="B5" s="11">
        <v>10027</v>
      </c>
      <c r="C5" s="12" t="s">
        <v>8</v>
      </c>
      <c r="D5" s="13"/>
      <c r="E5" s="13"/>
      <c r="F5" s="14"/>
      <c r="G5" s="15">
        <v>13530</v>
      </c>
    </row>
    <row r="6" spans="2:7" ht="24.75" customHeight="1" thickBot="1">
      <c r="B6" s="27" t="s">
        <v>15</v>
      </c>
      <c r="C6" s="28"/>
      <c r="D6" s="28"/>
      <c r="E6" s="28"/>
      <c r="F6" s="28"/>
      <c r="G6" s="29"/>
    </row>
    <row r="7" spans="2:7" ht="144" customHeight="1">
      <c r="B7" s="16"/>
      <c r="C7" s="17" t="s">
        <v>11</v>
      </c>
      <c r="D7" s="18"/>
      <c r="E7" s="18"/>
      <c r="F7" s="17"/>
      <c r="G7" s="19">
        <f>G5-G4</f>
        <v>9430</v>
      </c>
    </row>
    <row r="8" spans="2:7" ht="141.75" customHeight="1">
      <c r="B8" s="20"/>
      <c r="C8" s="7" t="s">
        <v>9</v>
      </c>
      <c r="D8" s="3"/>
      <c r="E8" s="3"/>
      <c r="F8" s="7"/>
      <c r="G8" s="21">
        <v>6000</v>
      </c>
    </row>
    <row r="9" spans="2:7" ht="164.25" customHeight="1">
      <c r="B9" s="20"/>
      <c r="C9" s="7" t="s">
        <v>12</v>
      </c>
      <c r="D9" s="3"/>
      <c r="E9" s="3"/>
      <c r="F9" s="7"/>
      <c r="G9" s="21">
        <v>8000</v>
      </c>
    </row>
    <row r="10" spans="2:7" ht="177.75" customHeight="1">
      <c r="B10" s="20"/>
      <c r="C10" s="7" t="s">
        <v>10</v>
      </c>
      <c r="D10" s="3"/>
      <c r="E10" s="3"/>
      <c r="F10" s="7"/>
      <c r="G10" s="21">
        <v>2500</v>
      </c>
    </row>
    <row r="11" spans="2:7" ht="133.5" customHeight="1">
      <c r="B11" s="20"/>
      <c r="C11" s="8" t="s">
        <v>13</v>
      </c>
      <c r="D11" s="3"/>
      <c r="E11" s="3"/>
      <c r="F11" s="7"/>
      <c r="G11" s="21">
        <v>1000</v>
      </c>
    </row>
    <row r="12" spans="2:7" ht="342.75" customHeight="1">
      <c r="B12" s="20"/>
      <c r="C12" s="7" t="s">
        <v>16</v>
      </c>
      <c r="D12" s="3"/>
      <c r="E12" s="3"/>
      <c r="F12" s="5"/>
      <c r="G12" s="21"/>
    </row>
    <row r="13" spans="2:7" ht="105" customHeight="1">
      <c r="B13" s="20"/>
      <c r="C13" s="7" t="s">
        <v>14</v>
      </c>
      <c r="D13" s="3"/>
      <c r="E13" s="3"/>
      <c r="F13" s="5"/>
      <c r="G13" s="21">
        <v>500</v>
      </c>
    </row>
    <row r="14" spans="2:7" ht="78.75" customHeight="1">
      <c r="B14" s="20"/>
      <c r="C14" s="7" t="s">
        <v>17</v>
      </c>
      <c r="D14" s="3"/>
      <c r="E14" s="3"/>
      <c r="F14" s="5"/>
      <c r="G14" s="21">
        <v>1500</v>
      </c>
    </row>
    <row r="15" spans="2:7" ht="114" customHeight="1" thickBot="1">
      <c r="B15" s="22"/>
      <c r="C15" s="23" t="s">
        <v>18</v>
      </c>
      <c r="D15" s="24"/>
      <c r="E15" s="24"/>
      <c r="F15" s="25"/>
      <c r="G15" s="26">
        <v>3500</v>
      </c>
    </row>
    <row r="16" spans="2:7">
      <c r="B16" s="1"/>
      <c r="G16" s="10"/>
    </row>
    <row r="17" spans="7:7">
      <c r="G17" s="10"/>
    </row>
  </sheetData>
  <mergeCells count="1">
    <mergeCell ref="B6:G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Евро Lock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Murat.Ziganshin</dc:creator>
  <cp:lastModifiedBy>Murat.Ziganshin</cp:lastModifiedBy>
  <cp:lastPrinted>2025-08-20T13:07:55Z</cp:lastPrinted>
  <dcterms:created xsi:type="dcterms:W3CDTF">2025-07-09T06:34:24Z</dcterms:created>
  <dcterms:modified xsi:type="dcterms:W3CDTF">2025-11-10T10:14:31Z</dcterms:modified>
</cp:coreProperties>
</file>